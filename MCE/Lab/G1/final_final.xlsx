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osea\Downloads\"/>
    </mc:Choice>
  </mc:AlternateContent>
  <xr:revisionPtr revIDLastSave="0" documentId="8_{D0143D5E-08CB-4B1B-81B1-015A128A5C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rte A - Velocidade Inicial" sheetId="1" r:id="rId1"/>
    <sheet name="Parte B - Alcance vs Ângulo" sheetId="2" r:id="rId2"/>
    <sheet name="Parte C - Pêndulo Balístic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13" i="1"/>
  <c r="B15" i="2"/>
  <c r="E10" i="2"/>
  <c r="E9" i="2"/>
  <c r="E8" i="2"/>
  <c r="E7" i="2"/>
  <c r="E6" i="2"/>
  <c r="C12" i="3" l="1"/>
  <c r="B16" i="3"/>
  <c r="B18" i="3" s="1"/>
  <c r="C11" i="3"/>
  <c r="C10" i="3"/>
  <c r="C9" i="3"/>
  <c r="C8" i="3"/>
  <c r="B15" i="3" s="1"/>
  <c r="B17" i="3" s="1"/>
  <c r="B19" i="3" s="1" a="1"/>
  <c r="B19" i="3" s="1"/>
  <c r="B15" i="1"/>
  <c r="C10" i="1"/>
  <c r="C11" i="1"/>
  <c r="C9" i="1"/>
  <c r="C8" i="1"/>
  <c r="C7" i="1"/>
  <c r="E12" i="2"/>
  <c r="B13" i="2"/>
  <c r="B16" i="2" l="1"/>
  <c r="B17" i="2" s="1"/>
  <c r="B16" i="1"/>
  <c r="B18" i="1" s="1"/>
  <c r="B19" i="1" s="1"/>
  <c r="B14" i="1"/>
</calcChain>
</file>

<file path=xl/sharedStrings.xml><?xml version="1.0" encoding="utf-8"?>
<sst xmlns="http://schemas.openxmlformats.org/spreadsheetml/2006/main" count="48" uniqueCount="47">
  <si>
    <t>Parte B - Dependência do Alcance com o Ângulo de Disparo</t>
  </si>
  <si>
    <t>Altura de lançamento, yᵢ (m)</t>
  </si>
  <si>
    <t>Incerteza fita métrica Δx (m)</t>
  </si>
  <si>
    <t>Ângulo de lançamento, θ (°)</t>
  </si>
  <si>
    <t>Alcance x₁ (±0,0005 m)</t>
  </si>
  <si>
    <t>Alcance x₂ (±0,0005 m)</t>
  </si>
  <si>
    <t>Alcance x₃ (±0,0005 m)</t>
  </si>
  <si>
    <t>Alcance médio, x̄ (m)</t>
  </si>
  <si>
    <t>Ângulo de maior alcance observado (±1°)</t>
  </si>
  <si>
    <t>Ângulo de Alcance Máximo θ_max_obs (°):</t>
  </si>
  <si>
    <t>Ângulo de maior alcance, θmáx,obs (°)</t>
  </si>
  <si>
    <t>Incerteza do ângulo máximo, Δθmáx,obs (°)</t>
  </si>
  <si>
    <t>Altura inicial, yᵢ (m)</t>
  </si>
  <si>
    <t>Ângulo teórico de alcance máximo, θmáx (°)</t>
  </si>
  <si>
    <t>Ângulo teórico de máximo (°)</t>
  </si>
  <si>
    <t>Nota: Δx = ±0,0005 m em cada alcance; yᵢ = 0,26 m; yfinal = 0 m (referencial da bancada).</t>
  </si>
  <si>
    <t>Nota: Δx = ±0,0005 m em cada alcance. O guião dispensa o erro do alcance médio.</t>
  </si>
  <si>
    <t>Parte A - Determinação da Velocidade Inicial</t>
  </si>
  <si>
    <t>Distância entre sensores, s (±0,0005 m)</t>
  </si>
  <si>
    <t>LEGENDA:</t>
  </si>
  <si>
    <t>Incerteza da distância, Δs (m)</t>
  </si>
  <si>
    <t>Células para preencher</t>
  </si>
  <si>
    <t>Cálculos automáticos</t>
  </si>
  <si>
    <t>Ensaio</t>
  </si>
  <si>
    <t>Tempo medido, tᵢ (s)</t>
  </si>
  <si>
    <t>Desvio absoluto, |tᵢ − t̄| (s)</t>
  </si>
  <si>
    <t>Tempo médio, t̄ (s):</t>
  </si>
  <si>
    <t>Incerteza do tempo, Δt (s):</t>
  </si>
  <si>
    <t>Velocidade inicial, v₀ (m/s):</t>
  </si>
  <si>
    <t>Incerteza da velocidade, Δv₀ (m/s):</t>
  </si>
  <si>
    <t>Erro relativo da velocidade (%)</t>
  </si>
  <si>
    <t>Critério de precisão (≤ 10%)</t>
  </si>
  <si>
    <t>Parte C - Pêndulo Balístico</t>
  </si>
  <si>
    <t>Massa do projétil, m (kg)</t>
  </si>
  <si>
    <t>Incerteza, Δm (kg)</t>
  </si>
  <si>
    <t>Massa do pêndulo, M (kg)</t>
  </si>
  <si>
    <t>Incerteza, ΔM (kg)</t>
  </si>
  <si>
    <t>Comprimento do pêndulo, l (m)</t>
  </si>
  <si>
    <t>Incerteza, Δl (m)</t>
  </si>
  <si>
    <t>Ângulo medido α (°)</t>
  </si>
  <si>
    <t>Desvio |α_i - α_med| (°)</t>
  </si>
  <si>
    <t>Ângulo médio, α_med (°):</t>
  </si>
  <si>
    <t>Erro do ângulo, Δα (°):</t>
  </si>
  <si>
    <t>Altura máxima, h (m):</t>
  </si>
  <si>
    <t>Erro da altura, Δh (m):</t>
  </si>
  <si>
    <t>Velocidade Inicial, v_0 (m/s):</t>
  </si>
  <si>
    <t>Erro da Vel., Δv_0 (m/s):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</si>
</sst>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"/>
    <numFmt numFmtId="167" formatCode="0.00000"/>
  </numFmts>
  <fonts count="8" x14ac:knownFonts="1">
    <font>
      <sz val="11"/>
      <color theme="1"/>
      <name val="Calibri"/>
    </font>
    <font>
      <b/>
      <sz val="14"/>
      <color rgb="FF2F5496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b/>
      <sz val="14"/>
      <color rgb="FF2F5496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4F4F4F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2"/>
    <xf numFmtId="0" fontId="5" fillId="0" borderId="2"/>
  </cellStyleXfs>
  <cellXfs count="45">
    <xf numFmtId="0" fontId="0" fillId="0" borderId="0" xfId="0" applyBorder="1"/>
    <xf numFmtId="0" fontId="0" fillId="0" borderId="0" xfId="0" applyBorder="1" applyAlignment="1">
      <alignment wrapText="1"/>
    </xf>
    <xf numFmtId="0" fontId="0" fillId="3" borderId="1" xfId="0" applyFill="1" applyBorder="1" applyAlignment="1">
      <alignment wrapText="1"/>
    </xf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0" fontId="0" fillId="5" borderId="0" xfId="0" applyFill="1" applyBorder="1"/>
    <xf numFmtId="1" fontId="0" fillId="5" borderId="1" xfId="0" applyNumberFormat="1" applyFill="1" applyBorder="1" applyAlignment="1">
      <alignment horizontal="center" vertical="center" wrapText="1"/>
    </xf>
    <xf numFmtId="165" fontId="0" fillId="6" borderId="1" xfId="0" applyNumberFormat="1" applyFill="1" applyBorder="1" applyAlignment="1">
      <alignment horizontal="center" vertical="center" wrapText="1"/>
    </xf>
    <xf numFmtId="165" fontId="0" fillId="5" borderId="1" xfId="0" applyNumberFormat="1" applyFill="1" applyBorder="1" applyAlignment="1">
      <alignment horizontal="center" vertical="center" wrapText="1"/>
    </xf>
    <xf numFmtId="0" fontId="4" fillId="5" borderId="0" xfId="0" applyFont="1" applyFill="1" applyBorder="1"/>
    <xf numFmtId="0" fontId="5" fillId="0" borderId="2" xfId="1"/>
    <xf numFmtId="0" fontId="3" fillId="7" borderId="0" xfId="0" applyFont="1" applyFill="1" applyBorder="1" applyAlignment="1">
      <alignment wrapText="1"/>
    </xf>
    <xf numFmtId="0" fontId="2" fillId="0" borderId="0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2" fillId="0" borderId="0" xfId="0" applyFont="1" applyBorder="1" applyAlignment="1">
      <alignment horizontal="right" wrapText="1"/>
    </xf>
    <xf numFmtId="166" fontId="0" fillId="5" borderId="1" xfId="0" applyNumberFormat="1" applyFill="1" applyBorder="1" applyAlignment="1">
      <alignment horizontal="center" vertical="center" wrapText="1"/>
    </xf>
    <xf numFmtId="0" fontId="4" fillId="0" borderId="0" xfId="0" applyFont="1" applyBorder="1" applyAlignment="1">
      <alignment wrapText="1"/>
    </xf>
    <xf numFmtId="166" fontId="0" fillId="5" borderId="0" xfId="0" applyNumberFormat="1" applyFill="1" applyBorder="1" applyAlignment="1">
      <alignment wrapText="1"/>
    </xf>
    <xf numFmtId="0" fontId="0" fillId="5" borderId="0" xfId="0" applyFill="1" applyBorder="1" applyAlignment="1">
      <alignment wrapText="1"/>
    </xf>
    <xf numFmtId="2" fontId="0" fillId="6" borderId="1" xfId="0" applyNumberFormat="1" applyFill="1" applyBorder="1" applyAlignment="1">
      <alignment horizontal="center" vertical="center" wrapText="1"/>
    </xf>
    <xf numFmtId="164" fontId="0" fillId="6" borderId="0" xfId="0" applyNumberFormat="1" applyFill="1" applyBorder="1" applyAlignment="1">
      <alignment wrapText="1"/>
    </xf>
    <xf numFmtId="1" fontId="0" fillId="3" borderId="1" xfId="0" applyNumberFormat="1" applyFill="1" applyBorder="1" applyAlignment="1">
      <alignment horizontal="center" vertical="center" wrapText="1"/>
    </xf>
    <xf numFmtId="1" fontId="0" fillId="5" borderId="0" xfId="0" applyNumberFormat="1" applyFill="1" applyBorder="1" applyAlignment="1">
      <alignment wrapText="1"/>
    </xf>
    <xf numFmtId="1" fontId="0" fillId="6" borderId="0" xfId="0" applyNumberFormat="1" applyFill="1" applyBorder="1" applyAlignment="1">
      <alignment wrapText="1"/>
    </xf>
    <xf numFmtId="2" fontId="0" fillId="5" borderId="0" xfId="0" applyNumberFormat="1" applyFill="1" applyBorder="1" applyAlignment="1">
      <alignment wrapText="1"/>
    </xf>
    <xf numFmtId="2" fontId="0" fillId="0" borderId="0" xfId="0" applyNumberFormat="1" applyBorder="1" applyAlignment="1">
      <alignment wrapText="1"/>
    </xf>
    <xf numFmtId="0" fontId="2" fillId="0" borderId="2" xfId="1" applyFont="1" applyAlignment="1">
      <alignment wrapText="1"/>
    </xf>
    <xf numFmtId="167" fontId="5" fillId="6" borderId="3" xfId="1" applyNumberFormat="1" applyFill="1" applyBorder="1" applyAlignment="1">
      <alignment horizontal="center" vertical="center" wrapText="1"/>
    </xf>
    <xf numFmtId="164" fontId="5" fillId="6" borderId="3" xfId="1" applyNumberFormat="1" applyFill="1" applyBorder="1" applyAlignment="1">
      <alignment horizontal="center" vertical="center" wrapText="1"/>
    </xf>
    <xf numFmtId="165" fontId="5" fillId="6" borderId="3" xfId="1" applyNumberForma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5" fillId="5" borderId="3" xfId="1" applyFill="1" applyBorder="1" applyAlignment="1">
      <alignment horizontal="center" vertical="center" wrapText="1"/>
    </xf>
    <xf numFmtId="166" fontId="5" fillId="6" borderId="3" xfId="1" applyNumberFormat="1" applyFill="1" applyBorder="1" applyAlignment="1">
      <alignment horizontal="center" vertical="center" wrapText="1"/>
    </xf>
    <xf numFmtId="2" fontId="5" fillId="5" borderId="3" xfId="1" applyNumberFormat="1" applyFill="1" applyBorder="1" applyAlignment="1">
      <alignment horizontal="center" vertical="center" wrapText="1"/>
    </xf>
    <xf numFmtId="0" fontId="2" fillId="0" borderId="2" xfId="1" applyFont="1" applyAlignment="1">
      <alignment horizontal="right" wrapText="1"/>
    </xf>
    <xf numFmtId="166" fontId="5" fillId="5" borderId="3" xfId="1" applyNumberFormat="1" applyFill="1" applyBorder="1" applyAlignment="1">
      <alignment horizontal="center" vertical="center" wrapText="1"/>
    </xf>
    <xf numFmtId="164" fontId="5" fillId="5" borderId="3" xfId="1" applyNumberFormat="1" applyFill="1" applyBorder="1" applyAlignment="1">
      <alignment horizontal="center" vertical="center" wrapText="1"/>
    </xf>
    <xf numFmtId="0" fontId="1" fillId="0" borderId="2" xfId="0" applyFont="1" applyAlignment="1">
      <alignment wrapText="1"/>
    </xf>
    <xf numFmtId="0" fontId="0" fillId="0" borderId="0" xfId="0" applyBorder="1"/>
    <xf numFmtId="0" fontId="1" fillId="0" borderId="2" xfId="1" applyFont="1" applyAlignment="1">
      <alignment wrapText="1"/>
    </xf>
    <xf numFmtId="0" fontId="5" fillId="0" borderId="2" xfId="1"/>
    <xf numFmtId="0" fontId="7" fillId="0" borderId="2" xfId="0" applyFont="1" applyAlignment="1">
      <alignment wrapText="1"/>
    </xf>
    <xf numFmtId="0" fontId="6" fillId="0" borderId="0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sqref="A1:D1"/>
    </sheetView>
  </sheetViews>
  <sheetFormatPr defaultRowHeight="14.5" x14ac:dyDescent="0.35"/>
  <cols>
    <col min="1" max="1" width="56" customWidth="1"/>
    <col min="2" max="2" width="29" customWidth="1"/>
    <col min="3" max="3" width="34" customWidth="1"/>
    <col min="4" max="4" width="37" customWidth="1"/>
    <col min="5" max="5" width="31" customWidth="1"/>
    <col min="6" max="7" width="25" customWidth="1"/>
  </cols>
  <sheetData>
    <row r="1" spans="1:5" ht="30" customHeight="1" x14ac:dyDescent="0.45">
      <c r="A1" s="43" t="s">
        <v>17</v>
      </c>
      <c r="B1" s="44"/>
      <c r="C1" s="44"/>
      <c r="D1" s="44"/>
    </row>
    <row r="2" spans="1:5" ht="21" customHeight="1" x14ac:dyDescent="0.35"/>
    <row r="3" spans="1:5" ht="21" customHeight="1" x14ac:dyDescent="0.35">
      <c r="A3" s="14" t="s">
        <v>18</v>
      </c>
      <c r="B3" s="5">
        <v>8.4000000000000005E-2</v>
      </c>
      <c r="D3" s="14" t="s">
        <v>19</v>
      </c>
    </row>
    <row r="4" spans="1:5" ht="21" customHeight="1" x14ac:dyDescent="0.35">
      <c r="A4" s="14" t="s">
        <v>20</v>
      </c>
      <c r="B4" s="5">
        <v>5.0000000000000001E-4</v>
      </c>
      <c r="D4" s="15" t="s">
        <v>21</v>
      </c>
    </row>
    <row r="5" spans="1:5" ht="21" customHeight="1" x14ac:dyDescent="0.35">
      <c r="A5" s="1"/>
      <c r="B5" s="1"/>
      <c r="C5" s="1"/>
      <c r="D5" s="2" t="s">
        <v>22</v>
      </c>
      <c r="E5" s="1"/>
    </row>
    <row r="6" spans="1:5" ht="21" customHeight="1" x14ac:dyDescent="0.35">
      <c r="A6" s="3" t="s">
        <v>23</v>
      </c>
      <c r="B6" s="3" t="s">
        <v>24</v>
      </c>
      <c r="C6" s="3" t="s">
        <v>25</v>
      </c>
      <c r="D6" s="1"/>
      <c r="E6" s="1"/>
    </row>
    <row r="7" spans="1:5" ht="21" customHeight="1" x14ac:dyDescent="0.35">
      <c r="A7" s="4">
        <v>1</v>
      </c>
      <c r="B7" s="5">
        <v>3.2000000000000001E-2</v>
      </c>
      <c r="C7" s="6">
        <f>ABS(B7-$B$13)</f>
        <v>1.6000000000000042E-4</v>
      </c>
      <c r="D7" s="1"/>
      <c r="E7" s="1"/>
    </row>
    <row r="8" spans="1:5" ht="21" customHeight="1" x14ac:dyDescent="0.35">
      <c r="A8" s="4">
        <v>2</v>
      </c>
      <c r="B8" s="5">
        <v>3.2500000000000001E-2</v>
      </c>
      <c r="C8" s="6">
        <f>ABS(B8-$B$13)</f>
        <v>6.6000000000000086E-4</v>
      </c>
    </row>
    <row r="9" spans="1:5" ht="21" customHeight="1" x14ac:dyDescent="0.35">
      <c r="A9" s="4">
        <v>3</v>
      </c>
      <c r="B9" s="5">
        <v>3.04E-2</v>
      </c>
      <c r="C9" s="6">
        <f>ABS(B9-$B$13)</f>
        <v>1.4400000000000003E-3</v>
      </c>
    </row>
    <row r="10" spans="1:5" ht="21" customHeight="1" x14ac:dyDescent="0.35">
      <c r="A10" s="4">
        <v>4</v>
      </c>
      <c r="B10" s="5">
        <v>3.27E-2</v>
      </c>
      <c r="C10" s="6">
        <f>ABS(B10-$B$13)</f>
        <v>8.5999999999999965E-4</v>
      </c>
    </row>
    <row r="11" spans="1:5" ht="21" customHeight="1" x14ac:dyDescent="0.35">
      <c r="A11" s="4">
        <v>5</v>
      </c>
      <c r="B11" s="5">
        <v>3.1600000000000003E-2</v>
      </c>
      <c r="C11" s="6">
        <f>ABS(B11-$B$13)</f>
        <v>2.3999999999999716E-4</v>
      </c>
    </row>
    <row r="12" spans="1:5" ht="21" customHeight="1" x14ac:dyDescent="0.35"/>
    <row r="13" spans="1:5" ht="21" customHeight="1" x14ac:dyDescent="0.35">
      <c r="A13" s="16" t="s">
        <v>26</v>
      </c>
      <c r="B13" s="10">
        <f>AVERAGE(B7:B11)</f>
        <v>3.184E-2</v>
      </c>
    </row>
    <row r="14" spans="1:5" ht="21" customHeight="1" x14ac:dyDescent="0.35">
      <c r="A14" s="16" t="s">
        <v>27</v>
      </c>
      <c r="B14" s="10">
        <f>MAX(C7:C11)</f>
        <v>1.4400000000000003E-3</v>
      </c>
    </row>
    <row r="15" spans="1:5" ht="21" customHeight="1" x14ac:dyDescent="0.35">
      <c r="A15" s="16" t="s">
        <v>28</v>
      </c>
      <c r="B15" s="17">
        <f>B3/B13</f>
        <v>2.6381909547738696</v>
      </c>
    </row>
    <row r="16" spans="1:5" ht="21" customHeight="1" x14ac:dyDescent="0.35">
      <c r="A16" s="16" t="s">
        <v>29</v>
      </c>
      <c r="B16" s="17">
        <f>B15*(B4/B3+B14/B13)</f>
        <v>0.1350186863968082</v>
      </c>
    </row>
    <row r="17" spans="1:2" ht="21" customHeight="1" x14ac:dyDescent="0.35"/>
    <row r="18" spans="1:2" ht="21" customHeight="1" x14ac:dyDescent="0.35">
      <c r="A18" s="18" t="s">
        <v>30</v>
      </c>
      <c r="B18" s="19">
        <f>100*B16/B15</f>
        <v>5.1178511605647294</v>
      </c>
    </row>
    <row r="19" spans="1:2" ht="21" customHeight="1" x14ac:dyDescent="0.35">
      <c r="A19" s="18" t="s">
        <v>31</v>
      </c>
      <c r="B19" s="20" t="str">
        <f>IF(B18&lt;=10,"Preciso","Não preciso")</f>
        <v>Preciso</v>
      </c>
    </row>
    <row r="20" spans="1:2" ht="21" customHeight="1" x14ac:dyDescent="0.35"/>
    <row r="21" spans="1:2" ht="21" customHeight="1" x14ac:dyDescent="0.35"/>
    <row r="22" spans="1:2" ht="21" customHeight="1" x14ac:dyDescent="0.35"/>
    <row r="23" spans="1:2" ht="21" customHeight="1" x14ac:dyDescent="0.35"/>
    <row r="24" spans="1:2" ht="21" customHeight="1" x14ac:dyDescent="0.35"/>
    <row r="25" spans="1:2" ht="21" customHeight="1" x14ac:dyDescent="0.35"/>
    <row r="26" spans="1:2" ht="21" customHeight="1" x14ac:dyDescent="0.35"/>
    <row r="27" spans="1:2" ht="21" customHeight="1" x14ac:dyDescent="0.35"/>
    <row r="28" spans="1:2" ht="21" customHeight="1" x14ac:dyDescent="0.35"/>
    <row r="29" spans="1:2" ht="21" customHeight="1" x14ac:dyDescent="0.35"/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zoomScale="126" workbookViewId="0">
      <selection activeCell="F6" sqref="F6"/>
    </sheetView>
  </sheetViews>
  <sheetFormatPr defaultRowHeight="14.5" x14ac:dyDescent="0.35"/>
  <cols>
    <col min="1" max="1" width="56" customWidth="1"/>
    <col min="2" max="2" width="29" customWidth="1"/>
    <col min="3" max="3" width="34" customWidth="1"/>
    <col min="4" max="4" width="37" customWidth="1"/>
    <col min="5" max="5" width="31" customWidth="1"/>
    <col min="6" max="7" width="25" customWidth="1"/>
  </cols>
  <sheetData>
    <row r="1" spans="1:6" ht="30" customHeight="1" x14ac:dyDescent="0.45">
      <c r="A1" s="39" t="s">
        <v>0</v>
      </c>
      <c r="B1" s="40"/>
      <c r="C1" s="40"/>
      <c r="D1" s="40"/>
      <c r="E1" s="40"/>
      <c r="F1" s="40"/>
    </row>
    <row r="2" spans="1:6" ht="21" customHeight="1" x14ac:dyDescent="0.35"/>
    <row r="3" spans="1:6" ht="21" customHeight="1" x14ac:dyDescent="0.35">
      <c r="A3" s="16" t="s">
        <v>1</v>
      </c>
      <c r="B3" s="21">
        <v>0.26</v>
      </c>
    </row>
    <row r="4" spans="1:6" ht="21" customHeight="1" x14ac:dyDescent="0.35">
      <c r="A4" s="1" t="s">
        <v>2</v>
      </c>
      <c r="B4" s="22">
        <v>5.0000000000000001E-4</v>
      </c>
    </row>
    <row r="5" spans="1:6" ht="21" customHeight="1" x14ac:dyDescent="0.3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13"/>
    </row>
    <row r="6" spans="1:6" ht="21" customHeight="1" x14ac:dyDescent="0.35">
      <c r="A6" s="8">
        <v>30</v>
      </c>
      <c r="B6" s="9">
        <v>1.153</v>
      </c>
      <c r="C6" s="9">
        <v>1.155</v>
      </c>
      <c r="D6" s="9">
        <v>1.149</v>
      </c>
      <c r="E6" s="10">
        <f>AVERAGE(B6:D6)</f>
        <v>1.1523333333333332</v>
      </c>
    </row>
    <row r="7" spans="1:6" ht="21" customHeight="1" x14ac:dyDescent="0.35">
      <c r="A7" s="8">
        <v>34</v>
      </c>
      <c r="B7" s="9">
        <v>1.143</v>
      </c>
      <c r="C7" s="9">
        <v>1.1559999999999999</v>
      </c>
      <c r="D7" s="9">
        <v>1.1539999999999999</v>
      </c>
      <c r="E7" s="10">
        <f>AVERAGE(B7:D7)</f>
        <v>1.151</v>
      </c>
    </row>
    <row r="8" spans="1:6" ht="21" customHeight="1" x14ac:dyDescent="0.35">
      <c r="A8" s="8">
        <v>38</v>
      </c>
      <c r="B8" s="9">
        <v>1.1639999999999999</v>
      </c>
      <c r="C8" s="9">
        <v>1.139</v>
      </c>
      <c r="D8" s="9">
        <v>1.1579999999999999</v>
      </c>
      <c r="E8" s="10">
        <f>AVERAGE(B8:D8)</f>
        <v>1.1536666666666666</v>
      </c>
    </row>
    <row r="9" spans="1:6" ht="21" customHeight="1" x14ac:dyDescent="0.35">
      <c r="A9" s="8">
        <v>40</v>
      </c>
      <c r="B9" s="9">
        <v>1.1339999999999999</v>
      </c>
      <c r="C9" s="9">
        <v>1.131</v>
      </c>
      <c r="D9" s="9">
        <v>1.147</v>
      </c>
      <c r="E9" s="10">
        <f>AVERAGE(B9:D9)</f>
        <v>1.1373333333333333</v>
      </c>
    </row>
    <row r="10" spans="1:6" ht="21" customHeight="1" x14ac:dyDescent="0.35">
      <c r="A10" s="8">
        <v>43</v>
      </c>
      <c r="B10" s="9">
        <v>1.1180000000000001</v>
      </c>
      <c r="C10" s="9">
        <v>1.1220000000000001</v>
      </c>
      <c r="D10" s="9">
        <v>1.129</v>
      </c>
      <c r="E10" s="10">
        <f>AVERAGE(B10:D10)</f>
        <v>1.123</v>
      </c>
    </row>
    <row r="11" spans="1:6" ht="21" customHeight="1" x14ac:dyDescent="0.35">
      <c r="E11" s="11"/>
    </row>
    <row r="12" spans="1:6" ht="21" customHeight="1" x14ac:dyDescent="0.35">
      <c r="A12" s="18" t="s">
        <v>8</v>
      </c>
      <c r="B12" s="7"/>
      <c r="D12" s="16" t="s">
        <v>9</v>
      </c>
      <c r="E12" s="23">
        <f>INDEX(A6:A10, MATCH(MAX(E6:E10), E6:E10, 0))</f>
        <v>38</v>
      </c>
    </row>
    <row r="13" spans="1:6" ht="21" customHeight="1" x14ac:dyDescent="0.35">
      <c r="A13" s="18" t="s">
        <v>10</v>
      </c>
      <c r="B13" s="24">
        <f>INDEX(A6:A10,MATCH(MAX(E6:E10),E6:E10,0))</f>
        <v>38</v>
      </c>
    </row>
    <row r="14" spans="1:6" ht="21" customHeight="1" x14ac:dyDescent="0.35">
      <c r="A14" s="18" t="s">
        <v>11</v>
      </c>
      <c r="B14" s="25">
        <v>1</v>
      </c>
    </row>
    <row r="15" spans="1:6" ht="21" customHeight="1" x14ac:dyDescent="0.35">
      <c r="A15" s="18" t="s">
        <v>12</v>
      </c>
      <c r="B15" s="26">
        <f>B3</f>
        <v>0.26</v>
      </c>
    </row>
    <row r="16" spans="1:6" ht="21" customHeight="1" x14ac:dyDescent="0.35">
      <c r="A16" s="18" t="s">
        <v>13</v>
      </c>
      <c r="B16" s="19">
        <f>DEGREES(ATAN(1/SQRT(1+2*9.81*B15/('Parte A - Velocidade Inicial'!B15^2))))</f>
        <v>37.221897873156948</v>
      </c>
    </row>
    <row r="17" spans="1:2" ht="21" customHeight="1" x14ac:dyDescent="0.35">
      <c r="A17" s="1" t="s">
        <v>14</v>
      </c>
      <c r="B17" s="27">
        <f>IF(OR(B16="",'Parte A - Velocidade Inicial'!B15=""),"",DEGREES(ATAN(1/SQRT(1+2*9.8*B16/('Parte A - Velocidade Inicial'!B15^2)))))</f>
        <v>5.5523558373220538</v>
      </c>
    </row>
    <row r="18" spans="1:2" ht="21" customHeight="1" x14ac:dyDescent="0.35">
      <c r="A18" s="1" t="s">
        <v>15</v>
      </c>
    </row>
    <row r="19" spans="1:2" ht="21" customHeight="1" x14ac:dyDescent="0.35">
      <c r="A19" s="1" t="s">
        <v>16</v>
      </c>
    </row>
    <row r="20" spans="1:2" ht="21" customHeight="1" x14ac:dyDescent="0.35"/>
    <row r="21" spans="1:2" ht="21" customHeight="1" x14ac:dyDescent="0.35"/>
    <row r="22" spans="1:2" ht="21" customHeight="1" x14ac:dyDescent="0.35"/>
    <row r="23" spans="1:2" ht="21" customHeight="1" x14ac:dyDescent="0.35"/>
    <row r="24" spans="1:2" ht="21" customHeight="1" x14ac:dyDescent="0.35"/>
    <row r="25" spans="1:2" ht="21" customHeight="1" x14ac:dyDescent="0.35"/>
    <row r="26" spans="1:2" ht="21" customHeight="1" x14ac:dyDescent="0.35"/>
    <row r="27" spans="1:2" ht="21" customHeight="1" x14ac:dyDescent="0.35"/>
    <row r="28" spans="1:2" ht="21" customHeight="1" x14ac:dyDescent="0.35"/>
    <row r="29" spans="1:2" ht="21" customHeight="1" x14ac:dyDescent="0.35"/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C16" sqref="C16"/>
    </sheetView>
  </sheetViews>
  <sheetFormatPr defaultColWidth="31" defaultRowHeight="14.5" x14ac:dyDescent="0.35"/>
  <cols>
    <col min="1" max="1" width="56" style="12" customWidth="1"/>
    <col min="2" max="2" width="29" style="12" customWidth="1"/>
    <col min="3" max="3" width="34" style="12" customWidth="1"/>
    <col min="4" max="4" width="37" style="12" customWidth="1"/>
    <col min="5" max="5" width="31" style="12" customWidth="1"/>
    <col min="6" max="7" width="25" customWidth="1"/>
    <col min="8" max="16384" width="31" style="12"/>
  </cols>
  <sheetData>
    <row r="1" spans="1:5" ht="30" customHeight="1" x14ac:dyDescent="0.45">
      <c r="A1" s="41" t="s">
        <v>32</v>
      </c>
      <c r="B1" s="42"/>
      <c r="C1" s="42"/>
      <c r="D1" s="42"/>
      <c r="E1" s="42"/>
    </row>
    <row r="2" spans="1:5" ht="21" customHeight="1" x14ac:dyDescent="0.35"/>
    <row r="3" spans="1:5" ht="21" customHeight="1" x14ac:dyDescent="0.35">
      <c r="A3" s="28" t="s">
        <v>33</v>
      </c>
      <c r="B3" s="29">
        <v>9.6399999999999993E-3</v>
      </c>
      <c r="C3" s="28" t="s">
        <v>34</v>
      </c>
      <c r="D3" s="29">
        <v>1.0000000000000001E-5</v>
      </c>
    </row>
    <row r="4" spans="1:5" ht="21" customHeight="1" x14ac:dyDescent="0.35">
      <c r="A4" s="28" t="s">
        <v>35</v>
      </c>
      <c r="B4" s="30">
        <v>0.2379</v>
      </c>
      <c r="C4" s="28" t="s">
        <v>36</v>
      </c>
      <c r="D4" s="29">
        <v>1.0000000000000001E-5</v>
      </c>
    </row>
    <row r="5" spans="1:5" ht="21" customHeight="1" x14ac:dyDescent="0.35">
      <c r="A5" s="28" t="s">
        <v>37</v>
      </c>
      <c r="B5" s="31">
        <v>0.34799999999999998</v>
      </c>
      <c r="C5" s="28" t="s">
        <v>38</v>
      </c>
      <c r="D5" s="30">
        <v>5.0000000000000001E-4</v>
      </c>
    </row>
    <row r="6" spans="1:5" ht="21" customHeight="1" x14ac:dyDescent="0.35"/>
    <row r="7" spans="1:5" ht="21" customHeight="1" x14ac:dyDescent="0.35">
      <c r="A7" s="32" t="s">
        <v>23</v>
      </c>
      <c r="B7" s="32" t="s">
        <v>39</v>
      </c>
      <c r="C7" s="32" t="s">
        <v>40</v>
      </c>
    </row>
    <row r="8" spans="1:5" ht="21" customHeight="1" x14ac:dyDescent="0.35">
      <c r="A8" s="33">
        <v>1</v>
      </c>
      <c r="B8" s="34">
        <v>5.2</v>
      </c>
      <c r="C8" s="35">
        <f>IF(OR(NOT(ISNUMBER(B8)),NOT(ISNUMBER($B$14))),"",ABS(B8-$B$14))</f>
        <v>0.3199999999999994</v>
      </c>
    </row>
    <row r="9" spans="1:5" ht="21" customHeight="1" x14ac:dyDescent="0.35">
      <c r="A9" s="33">
        <v>2</v>
      </c>
      <c r="B9" s="34">
        <v>4.5</v>
      </c>
      <c r="C9" s="35">
        <f>IF(OR(NOT(ISNUMBER(B9)),NOT(ISNUMBER($B$14))),"",ABS(B9-$B$14))</f>
        <v>0.38000000000000078</v>
      </c>
    </row>
    <row r="10" spans="1:5" ht="21" customHeight="1" x14ac:dyDescent="0.35">
      <c r="A10" s="33">
        <v>3</v>
      </c>
      <c r="B10" s="34">
        <v>5</v>
      </c>
      <c r="C10" s="35">
        <f>IF(OR(NOT(ISNUMBER(B10)),NOT(ISNUMBER($B$14))),"",ABS(B10-$B$14))</f>
        <v>0.11999999999999922</v>
      </c>
    </row>
    <row r="11" spans="1:5" ht="21" customHeight="1" x14ac:dyDescent="0.35">
      <c r="A11" s="33">
        <v>4</v>
      </c>
      <c r="B11" s="34">
        <v>4.9000000000000004</v>
      </c>
      <c r="C11" s="35">
        <f>IF(OR(NOT(ISNUMBER(B11)),NOT(ISNUMBER($B$14))),"",ABS(B11-$B$14))</f>
        <v>1.9999999999999574E-2</v>
      </c>
    </row>
    <row r="12" spans="1:5" ht="21" customHeight="1" x14ac:dyDescent="0.35">
      <c r="A12" s="33">
        <v>5</v>
      </c>
      <c r="B12" s="34">
        <v>4.8</v>
      </c>
      <c r="C12" s="35">
        <f>IF(OR(NOT(ISNUMBER(B12)),NOT(ISNUMBER($B$14))),"",ABS(B12-$B$14))</f>
        <v>8.0000000000000959E-2</v>
      </c>
    </row>
    <row r="13" spans="1:5" ht="21" customHeight="1" x14ac:dyDescent="0.35"/>
    <row r="14" spans="1:5" ht="21" customHeight="1" x14ac:dyDescent="0.35">
      <c r="A14" s="36" t="s">
        <v>41</v>
      </c>
      <c r="B14" s="37">
        <f>IF(COUNT(B8:B12)=0,"",AVERAGE(B8:B12))</f>
        <v>4.8800000000000008</v>
      </c>
    </row>
    <row r="15" spans="1:5" ht="21" customHeight="1" x14ac:dyDescent="0.35">
      <c r="A15" s="36" t="s">
        <v>42</v>
      </c>
      <c r="B15" s="37">
        <f>IF(COUNT(B8:B12)=0,"",MAX(C8:C12))</f>
        <v>0.38000000000000078</v>
      </c>
    </row>
    <row r="16" spans="1:5" ht="21" customHeight="1" x14ac:dyDescent="0.35">
      <c r="A16" s="36" t="s">
        <v>43</v>
      </c>
      <c r="B16" s="38">
        <f>IF(OR(NOT(ISNUMBER(B14)),NOT(ISNUMBER(B5))),"",B5*(1-COS(RADIANS(B14))))</f>
        <v>1.2614820361048688E-3</v>
      </c>
    </row>
    <row r="17" spans="1:2" ht="21" customHeight="1" x14ac:dyDescent="0.35">
      <c r="A17" s="36" t="s">
        <v>44</v>
      </c>
      <c r="B17" s="38">
        <f>IF(OR(NOT(ISNUMBER(B14)),NOT(ISNUMBER(B15))),"",ABS(1-COS(RADIANS(B14)))*D5+ABS(B5*SIN(RADIANS(B14)))*RADIANS(B15))</f>
        <v>1.98154012062928E-4</v>
      </c>
    </row>
    <row r="18" spans="1:2" ht="21" customHeight="1" x14ac:dyDescent="0.35">
      <c r="A18" s="36" t="s">
        <v>45</v>
      </c>
      <c r="B18" s="37">
        <f>IF(OR(NOT(ISNUMBER(B16)),B16&lt;=0,B3&lt;=0),"",((B3+B4)/B3)*SQRT(2*9.8*B16))</f>
        <v>4.0377267362689198</v>
      </c>
    </row>
    <row r="19" spans="1:2" ht="21" customHeight="1" x14ac:dyDescent="0.35">
      <c r="A19" s="36" t="s">
        <v>46</v>
      </c>
      <c r="B19" s="34">
        <f t="array" ref="B19">IF(OR(NOT(ISNUMBER(B18)),B16&lt;=0,B3&lt;=0),"",SQRT(2*9.8*B16)*(B4/B3^2*D3+D4/B3)+B18*B17/(2*B16))</f>
        <v>0.3213122333704162</v>
      </c>
    </row>
    <row r="20" spans="1:2" ht="21" customHeight="1" x14ac:dyDescent="0.35"/>
    <row r="21" spans="1:2" ht="21" customHeight="1" x14ac:dyDescent="0.35"/>
    <row r="22" spans="1:2" ht="21" customHeight="1" x14ac:dyDescent="0.35"/>
    <row r="23" spans="1:2" ht="21" customHeight="1" x14ac:dyDescent="0.35"/>
    <row r="24" spans="1:2" ht="21" customHeight="1" x14ac:dyDescent="0.35"/>
    <row r="25" spans="1:2" ht="21" customHeight="1" x14ac:dyDescent="0.35"/>
    <row r="26" spans="1:2" ht="21" customHeight="1" x14ac:dyDescent="0.35"/>
    <row r="27" spans="1:2" ht="21" customHeight="1" x14ac:dyDescent="0.35"/>
    <row r="28" spans="1:2" ht="21" customHeight="1" x14ac:dyDescent="0.35"/>
    <row r="29" spans="1:2" ht="21" customHeight="1" x14ac:dyDescent="0.35"/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Parte A - Velocidade Inicial</vt:lpstr>
      <vt:lpstr>Parte B - Alcance vs Ângulo</vt:lpstr>
      <vt:lpstr>Parte C - Pêndulo Balístico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Rocha</cp:lastModifiedBy>
  <dcterms:created xsi:type="dcterms:W3CDTF">2026-10-23T11:18:42Z</dcterms:created>
  <dcterms:modified xsi:type="dcterms:W3CDTF">2026-10-23T11:22:36Z</dcterms:modified>
</cp:coreProperties>
</file>