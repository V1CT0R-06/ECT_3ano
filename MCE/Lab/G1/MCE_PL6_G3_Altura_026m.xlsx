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9b856e697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e A - Velocidade Inicial" sheetId="1" r:id="Ra7bc469ae9574c41"/>
    <x:sheet xmlns:r="http://schemas.openxmlformats.org/officeDocument/2006/relationships" name="Parte B - Alcance vs Ângulo" sheetId="2" r:id="R61f7b9ec00404e06"/>
  </x:sheets>
</x:workbook>
</file>

<file path=xl/sharedStrings.xml><?xml version="1.0" encoding="utf-8"?>
<x:sst xmlns:x="http://schemas.openxmlformats.org/spreadsheetml/2006/main">
  <x:si>
    <x:t xml:space="preserve">Parte A - Determinação da Velocidade Inicial</x:t>
  </x:si>
  <x:si>
    <x:t xml:space="preserve">LEGENDA:</x:t>
  </x:si>
  <x:si>
    <x:t xml:space="preserve">Células para preencher</x:t>
  </x:si>
  <x:si>
    <x:t xml:space="preserve">Cálculos automáticos</x:t>
  </x:si>
  <x:si>
    <x:t xml:space="preserve">Ensaio</x:t>
  </x:si>
  <x:si>
    <x:t xml:space="preserve">Parte B - Dependência do Alcance com o Ângulo de Disparo</x:t>
  </x:si>
  <x:si>
    <x:t xml:space="preserve">Ângulo de Alcance Máximo θ_max_obs (°):</x:t>
  </x:si>
</x:sst>
</file>

<file path=xl/styles.xml><?xml version="1.0" encoding="utf-8"?>
<x:styleSheet xmlns:x="http://schemas.openxmlformats.org/spreadsheetml/2006/main">
  <x:numFmts count="5">
    <x:numFmt numFmtId="165" formatCode="0.0000"/>
    <x:numFmt numFmtId="200" formatCode="0.000"/>
    <x:numFmt numFmtId="201" formatCode="0.0"/>
    <x:numFmt numFmtId="202" formatCode="0"/>
    <x:numFmt numFmtId="203" formatCode="0.00"/>
  </x:numFmts>
  <x:fonts count="4">
    <x:font>
      <x:sz val="11"/>
      <x:color theme="1"/>
      <x:name val="Calibri"/>
    </x:font>
    <x:font>
      <x:b/>
      <x:sz val="14"/>
      <x:color rgb="FF2F5496"/>
      <x:name val="Calibri"/>
    </x:font>
    <x:font>
      <x:b/>
      <x:sz val="11"/>
      <x:name val="Calibri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E2EFDA"/>
      </x:patternFill>
    </x:fill>
    <x:fill>
      <x:patternFill patternType="solid">
        <x:fgColor rgb="FF4F4F4F"/>
      </x:patternFill>
    </x:fill>
    <x:fill>
      <x:patternFill patternType="solid">
        <x:fgColor rgb="FFF2F2F2"/>
      </x:patternFill>
    </x:fill>
    <x:fill>
      <x:patternFill patternType="solid">
        <x:fgColor rgb="FF17324D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2" fillId="0" borderId="0" xfId="0" applyFont="1"/>
    <x:xf numFmtId="0" fontId="0" fillId="2" borderId="1" xfId="0" applyFill="1" applyBorder="1" applyAlignment="1">
      <x:alignment horizontal="center" vertical="center"/>
    </x:xf>
    <x:xf numFmtId="0" fontId="0" fillId="2" borderId="1" xfId="0" applyFill="1" applyBorder="1"/>
    <x:xf numFmtId="0" fontId="0" fillId="4" borderId="1" xfId="0" applyFill="1" applyBorder="1"/>
    <x:xf numFmtId="0" fontId="3" fillId="3" borderId="1" xfId="0" applyFont="1" applyFill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2" fillId="0" borderId="0" xfId="0" applyFont="1" applyAlignment="1">
      <x:alignment horizontal="right"/>
    </x:xf>
    <x:xf numFmtId="0" fontId="1" fillId="0" borderId="0" xfId="0" applyFont="1"/>
    <x:xf numFmtId="0" fontId="0" fillId="0" borderId="0" xfId="0"/>
    <x:xf numFmtId="165" fontId="0" fillId="2" borderId="1" xfId="0" applyNumberForma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2" fillId="0" borderId="2" xfId="0" applyNumberFormat="1" applyFont="1" applyFill="1" applyBorder="1"/>
    <x:xf numFmtId="0" fontId="0" fillId="2" borderId="3" xfId="0" applyNumberFormat="1" applyFont="1" applyFill="1" applyBorder="1" applyAlignment="1">
      <x:alignment horizontal="center" vertical="center"/>
    </x:xf>
    <x:xf numFmtId="0" fontId="0" fillId="2" borderId="3" xfId="0" applyNumberFormat="1" applyFont="1" applyFill="1" applyBorder="1"/>
    <x:xf numFmtId="0" fontId="0" fillId="4" borderId="3" xfId="0" applyNumberFormat="1" applyFont="1" applyFill="1" applyBorder="1"/>
    <x:xf numFmtId="0" fontId="3" fillId="3" borderId="3" xfId="0" applyNumberFormat="1" applyFont="1" applyFill="1" applyBorder="1" applyAlignment="1">
      <x:alignment horizontal="center" vertical="center"/>
    </x:xf>
    <x:xf numFmtId="0" fontId="0" fillId="4" borderId="3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right"/>
    </x:xf>
    <x:xf numFmtId="0" fontId="1" fillId="0" borderId="2" xfId="0" applyNumberFormat="1" applyFont="1" applyFill="1" applyBorder="1"/>
    <x:xf numFmtId="165" fontId="0" fillId="2" borderId="3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2" xfId="0" applyNumberFormat="1" applyFont="1" applyFill="1" applyBorder="1"/>
    <x:xf numFmtId="0" fontId="3" fillId="5" borderId="2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165" fontId="0" fillId="2" borderId="1" xfId="0" applyNumberFormat="1" applyFont="1" applyFill="1" applyBorder="1" applyAlignment="1">
      <x:alignment horizontal="center" vertical="center"/>
    </x:xf>
    <x:xf numFmtId="165" fontId="0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1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0" fillId="4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/>
    <x:xf numFmtId="16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165" fontId="0" fillId="2" borderId="1" xfId="0" applyNumberFormat="1" applyFont="1" applyFill="1" applyBorder="1" applyAlignment="1">
      <x:alignment horizontal="center" vertical="center" wrapText="1"/>
    </x:xf>
    <x:xf numFmtId="165" fontId="0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200" fontId="0" fillId="4" borderId="1" xfId="0" applyNumberFormat="1" applyFont="1" applyFill="1" applyBorder="1" applyAlignment="1">
      <x:alignment horizontal="center" vertical="center"/>
    </x:xf>
    <x:xf numFmtId="201" fontId="0" fillId="4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0" fillId="2" borderId="1" xfId="0" applyNumberFormat="1" applyFont="1" applyFill="1" applyBorder="1" applyAlignment="1">
      <x:alignment horizontal="center" vertical="center" wrapText="1"/>
    </x:xf>
    <x:xf numFmtId="200" fontId="0" fillId="4" borderId="1" xfId="0" applyNumberFormat="1" applyFont="1" applyFill="1" applyBorder="1" applyAlignment="1">
      <x:alignment horizontal="center" vertical="center" wrapText="1"/>
    </x:xf>
    <x:xf numFmtId="200" fontId="0" fillId="2" borderId="1" xfId="0" applyNumberFormat="1" applyFont="1" applyFill="1" applyBorder="1" applyAlignment="1">
      <x:alignment horizontal="center" vertical="center"/>
    </x:xf>
    <x:xf numFmtId="202" fontId="0" fillId="4" borderId="1" xfId="0" applyNumberFormat="1" applyFont="1" applyFill="1" applyBorder="1" applyAlignment="1">
      <x:alignment horizontal="center" vertical="center" wrapText="1"/>
    </x:xf>
    <x:xf numFmtId="202" fontId="0" fillId="4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1" fontId="0" fillId="2" borderId="1" xfId="0" applyNumberFormat="1" applyFont="1" applyFill="1" applyBorder="1" applyAlignment="1">
      <x:alignment horizontal="center" vertical="center"/>
    </x:xf>
    <x:xf numFmtId="203" fontId="0" fillId="2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d83bf32374617" /><Relationship Type="http://schemas.openxmlformats.org/officeDocument/2006/relationships/theme" Target="/xl/theme/theme1.xml" Id="R511c4083eb3a4476" /><Relationship Type="http://schemas.openxmlformats.org/officeDocument/2006/relationships/sharedStrings" Target="/xl/sharedStrings.xml" Id="Rf411357f11f241d5" /><Relationship Type="http://schemas.openxmlformats.org/officeDocument/2006/relationships/worksheet" Target="/xl/worksheets/sheet1.xml" Id="Ra7bc469ae9574c41" /><Relationship Type="http://schemas.openxmlformats.org/officeDocument/2006/relationships/worksheet" Target="/xl/worksheets/sheet2.xml" Id="R61f7b9ec00404e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4.5"/>
  <x:cols>
    <x:col min="1" max="1" width="44" hidden="0" customWidth="1"/>
    <x:col min="2" max="2" width="29" hidden="0" customWidth="1"/>
    <x:col min="3" max="4" width="25" customWidth="1"/>
    <x:col min="3" max="3" width="29" hidden="0" customWidth="1"/>
    <x:col min="4" max="4" width="29" hidden="0" customWidth="1"/>
    <x:col min="5" max="5" width="28" hidden="0" customWidth="1"/>
  </x:cols>
  <x:sheetData>
    <x:row r="1" ht="18.5">
      <x:c r="A1" s="8" t="s">
        <x:v>0</x:v>
      </x:c>
      <x:c r="B1" s="9"/>
      <x:c r="C1" s="9"/>
      <x:c r="D1" s="9"/>
    </x:row>
    <x:row r="3">
      <x:c r="A3" s="1" t="str">
        <x:v>Distância entre sensores, s (±0,0005 m)</x:v>
      </x:c>
      <x:c r="B3" s="31" t="n">
        <x:v>0.084</x:v>
      </x:c>
      <x:c r="D3" s="1" t="s">
        <x:v>1</x:v>
      </x:c>
    </x:row>
    <x:row r="4">
      <x:c r="A4" s="1" t="str">
        <x:v>Incerteza da distância, Δs (m)</x:v>
      </x:c>
      <x:c r="B4" s="31">
        <x:v>5.0000000000000001E-4</x:v>
      </x:c>
      <x:c r="D4" s="3" t="s">
        <x:v>2</x:v>
      </x:c>
    </x:row>
    <x:row r="5">
      <x:c r="A5" s="43"/>
      <x:c r="B5" s="43"/>
      <x:c r="C5" s="43"/>
      <x:c r="D5" s="44" t="s">
        <x:v>3</x:v>
      </x:c>
      <x:c r="E5" s="43"/>
    </x:row>
    <x:row r="6" ht="40" customHeight="1">
      <x:c r="A6" s="22" t="s">
        <x:v>4</x:v>
      </x:c>
      <x:c r="B6" s="22" t="str">
        <x:v>Tempo medido, tᵢ (s)</x:v>
      </x:c>
      <x:c r="C6" s="22" t="str">
        <x:v>Desvio absoluto, |tᵢ − t̄| (s)</x:v>
      </x:c>
      <x:c r="D6" s="43"/>
      <x:c r="E6" s="43"/>
    </x:row>
    <x:row r="7">
      <x:c r="A7" s="45">
        <x:v>1</x:v>
      </x:c>
      <x:c r="B7" s="46">
        <x:v>3.2000000000000001E-2</x:v>
      </x:c>
      <x:c r="C7" s="47" t="n">
        <x:f>ABS(B7-$B$13)</x:f>
        <x:v>0.00016000000000000042</x:v>
      </x:c>
      <x:c r="D7" s="43"/>
      <x:c r="E7" s="43"/>
    </x:row>
    <x:row r="8">
      <x:c r="A8" s="6">
        <x:v>2</x:v>
      </x:c>
      <x:c r="B8" s="31">
        <x:v>3.2500000000000001E-2</x:v>
      </x:c>
      <x:c r="C8" s="32" t="n">
        <x:f>ABS(B8-$B$13)</x:f>
        <x:v>0.0006600000000000009</x:v>
      </x:c>
    </x:row>
    <x:row r="9">
      <x:c r="A9" s="6">
        <x:v>3</x:v>
      </x:c>
      <x:c r="B9" s="31">
        <x:v>3.04E-2</x:v>
      </x:c>
      <x:c r="C9" s="32" t="n">
        <x:f>ABS(B9-$B$13)</x:f>
        <x:v>0.0014400000000000003</x:v>
      </x:c>
    </x:row>
    <x:row r="10">
      <x:c r="A10" s="6">
        <x:v>4</x:v>
      </x:c>
      <x:c r="B10" s="31">
        <x:v>3.27E-2</x:v>
      </x:c>
      <x:c r="C10" s="32" t="n">
        <x:f>ABS(B10-$B$13)</x:f>
        <x:v>0.0008599999999999997</x:v>
      </x:c>
    </x:row>
    <x:row r="11">
      <x:c r="A11" s="6">
        <x:v>5</x:v>
      </x:c>
      <x:c r="B11" s="31">
        <x:v>3.1600000000000003E-2</x:v>
      </x:c>
      <x:c r="C11" s="32" t="n">
        <x:f>ABS(B11-$B$13)</x:f>
        <x:v>0.00023999999999999716</x:v>
      </x:c>
    </x:row>
    <x:row r="13">
      <x:c r="A13" s="7" t="str">
        <x:v>Tempo médio, t̄ (s):</x:v>
      </x:c>
      <x:c r="B13" s="50" t="n">
        <x:f>AVERAGE(B7:B11)</x:f>
        <x:v>0.03184</x:v>
      </x:c>
    </x:row>
    <x:row r="14">
      <x:c r="A14" s="7" t="str">
        <x:v>Incerteza do tempo, Δt (s):</x:v>
      </x:c>
      <x:c r="B14" s="50" t="n">
        <x:f>MAX(C7:C11)</x:f>
        <x:v>0.0014400000000000003</x:v>
      </x:c>
    </x:row>
    <x:row r="15">
      <x:c r="A15" s="7" t="str">
        <x:v>Velocidade inicial, v₀ (m/s):</x:v>
      </x:c>
      <x:c r="B15" s="51" t="n">
        <x:f>B3/B13</x:f>
        <x:v>2.6381909547738696</x:v>
      </x:c>
    </x:row>
    <x:row r="16">
      <x:c r="A16" s="7" t="str">
        <x:v>Incerteza da velocidade, Δv₀ (m/s):</x:v>
      </x:c>
      <x:c r="B16" s="51" t="n">
        <x:f>B15*(B4/B3+B14/B13)</x:f>
        <x:v>0.1350186863968082</x:v>
      </x:c>
    </x:row>
    <x:row r="18">
      <x:c r="A18" t="str">
        <x:v>Erro relativo da velocidade (%)</x:v>
      </x:c>
      <x:c r="B18" s="52" t="n">
        <x:f>100*B16/B15</x:f>
        <x:v>5.117851160564729</x:v>
      </x:c>
    </x:row>
    <x:row r="19">
      <x:c r="A19" t="str">
        <x:v>Critério de precisão (≤ 10%)</x:v>
      </x:c>
      <x:c r="B19" t="str">
        <x:f>IF(B18&lt;=10,"Preciso","Não preciso")</x:f>
        <x:v>Preciso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4.5"/>
  <x:cols>
    <x:col min="1" max="1" width="44" hidden="0" customWidth="1"/>
    <x:col min="2" max="4" width="20" customWidth="1"/>
    <x:col min="5" max="5" width="28" hidden="0" customWidth="1"/>
    <x:col min="2" max="2" width="29" hidden="0" customWidth="1"/>
    <x:col min="3" max="3" width="29" hidden="0" customWidth="1"/>
    <x:col min="4" max="4" width="29" hidden="0" customWidth="1"/>
    <x:col min="6" max="6" width="25" hidden="0" customWidth="1"/>
  </x:cols>
  <x:sheetData>
    <x:row r="1" ht="18.5">
      <x:c r="A1" s="8" t="s">
        <x:v>5</x:v>
      </x:c>
      <x:c r="B1" s="9"/>
      <x:c r="C1" s="9"/>
      <x:c r="D1" s="9"/>
      <x:c r="E1" s="9"/>
      <x:c r="F1" s="9"/>
    </x:row>
    <x:row r="3">
      <x:c r="A3" s="7" t="str">
        <x:v>Altura de lançamento, yᵢ (m)</x:v>
      </x:c>
      <x:c r="B3" s="60" t="n">
        <x:v>0.26</x:v>
      </x:c>
    </x:row>
    <x:row r="4">
      <x:c r="A4" t="str">
        <x:v>Incerteza fita métrica Δx (m)</x:v>
      </x:c>
      <x:c r="B4" s="42" t="n">
        <x:v>0.0005</x:v>
      </x:c>
    </x:row>
    <x:row r="5" ht="40" customHeight="1">
      <x:c r="A5" s="22" t="str">
        <x:v>Ângulo de lançamento, θ (°)</x:v>
      </x:c>
      <x:c r="B5" s="22" t="str">
        <x:v>Alcance x₁ (±0,0005 m)</x:v>
      </x:c>
      <x:c r="C5" s="22" t="str">
        <x:v>Alcance x₂ (±0,0005 m)</x:v>
      </x:c>
      <x:c r="D5" s="22" t="str">
        <x:v>Alcance x₃ (±0,0005 m)</x:v>
      </x:c>
      <x:c r="E5" s="22" t="str">
        <x:v>Alcance médio, x̄ (m)</x:v>
      </x:c>
      <x:c r="F5" s="27"/>
    </x:row>
    <x:row r="6">
      <x:c r="A6" s="56" t="n">
        <x:v>30</x:v>
      </x:c>
      <x:c r="B6" s="53" t="n">
        <x:v>1.153</x:v>
      </x:c>
      <x:c r="C6" s="53" t="n">
        <x:v>1.155</x:v>
      </x:c>
      <x:c r="D6" s="53" t="n">
        <x:v>1.149</x:v>
      </x:c>
      <x:c r="E6" s="54" t="n">
        <x:f>AVERAGE(B6:D6)</x:f>
        <x:v>1.1523333333333332</x:v>
      </x:c>
    </x:row>
    <x:row r="7">
      <x:c r="A7" s="56" t="n">
        <x:v>34</x:v>
      </x:c>
      <x:c r="B7" s="53" t="n">
        <x:v>1.143</x:v>
      </x:c>
      <x:c r="C7" s="53" t="n">
        <x:v>1.156</x:v>
      </x:c>
      <x:c r="D7" s="53" t="n">
        <x:v>1.154</x:v>
      </x:c>
      <x:c r="E7" s="54" t="n">
        <x:f>AVERAGE(B7:D7)</x:f>
        <x:v>1.151</x:v>
      </x:c>
    </x:row>
    <x:row r="8">
      <x:c r="A8" s="57" t="n">
        <x:v>38</x:v>
      </x:c>
      <x:c r="B8" s="55" t="n">
        <x:v>1.164</x:v>
      </x:c>
      <x:c r="C8" s="55" t="n">
        <x:v>1.139</x:v>
      </x:c>
      <x:c r="D8" s="55" t="n">
        <x:v>1.158</x:v>
      </x:c>
      <x:c r="E8" s="50" t="n">
        <x:f>AVERAGE(B8:D8)</x:f>
        <x:v>1.1536666666666666</x:v>
      </x:c>
    </x:row>
    <x:row r="9">
      <x:c r="A9" s="57" t="n">
        <x:v>40</x:v>
      </x:c>
      <x:c r="B9" s="55" t="n">
        <x:v>1.134</x:v>
      </x:c>
      <x:c r="C9" s="55" t="n">
        <x:v>1.131</x:v>
      </x:c>
      <x:c r="D9" s="55" t="n">
        <x:v>1.147</x:v>
      </x:c>
      <x:c r="E9" s="50" t="n">
        <x:f>AVERAGE(B9:D9)</x:f>
        <x:v>1.1373333333333333</x:v>
      </x:c>
    </x:row>
    <x:row r="10">
      <x:c r="A10" s="57" t="n">
        <x:v>43</x:v>
      </x:c>
      <x:c r="B10" s="55" t="n">
        <x:v>1.118</x:v>
      </x:c>
      <x:c r="C10" s="55" t="n">
        <x:v>1.122</x:v>
      </x:c>
      <x:c r="D10" s="55" t="n">
        <x:v>1.129</x:v>
      </x:c>
      <x:c r="E10" s="50" t="n">
        <x:f>AVERAGE(B10:D10)</x:f>
        <x:v>1.123</x:v>
      </x:c>
    </x:row>
    <x:row r="12">
      <x:c r="A12" t="str">
        <x:v>Ângulo de maior alcance observado (±1°)</x:v>
      </x:c>
      <x:c r="D12" s="7" t="s">
        <x:v>6</x:v>
      </x:c>
      <x:c r="E12" s="57" t="n">
        <x:f>INDEX(A6:A10, MATCH(MAX(E6:E10), E6:E10, 0))</x:f>
        <x:v>38</x:v>
      </x:c>
    </x:row>
    <x:row r="13">
      <x:c r="A13" t="str">
        <x:v>Ângulo de maior alcance, θmáx,obs (°)</x:v>
      </x:c>
      <x:c r="B13" s="58" t="n">
        <x:f>INDEX(A6:A10,MATCH(MAX(E6:E10),E6:E10,0))</x:f>
        <x:v>38</x:v>
      </x:c>
    </x:row>
    <x:row r="14">
      <x:c r="A14" t="str">
        <x:v>Incerteza do ângulo máximo, Δθmáx,obs (°)</x:v>
      </x:c>
      <x:c r="B14" s="58" t="n">
        <x:v>1</x:v>
      </x:c>
    </x:row>
    <x:row r="15">
      <x:c r="A15" t="str">
        <x:v>Altura inicial, yᵢ (m)</x:v>
      </x:c>
      <x:c r="B15" s="61" t="n">
        <x:f>B3</x:f>
        <x:v>0.26</x:v>
      </x:c>
    </x:row>
    <x:row r="16">
      <x:c r="A16" t="str">
        <x:v>Ângulo teórico de alcance máximo, θmáx (°)</x:v>
      </x:c>
      <x:c r="B16" s="52" t="n">
        <x:f>DEGREES(ATAN(1/SQRT(1+2*9.81*B15/('Parte A - Velocidade Inicial'!B15^2))))</x:f>
        <x:v>37.22189787315695</x:v>
      </x:c>
    </x:row>
    <x:row r="17">
      <x:c r="A17" t="str">
        <x:v>Ângulo teórico de máximo (°)</x:v>
      </x:c>
      <x:c r="B17" t="n">
        <x:f>IF(OR(B16="",'Parte A - Velocidade Inicial'!B15=""),"",DEGREES(ATAN(1/SQRT(1+2*9.8*B16/('Parte A - Velocidade Inicial'!B15^2)))))</x:f>
        <x:v>5.552355837322054</x:v>
      </x:c>
    </x:row>
    <x:row r="18">
      <x:c r="A18" t="str">
        <x:v>Nota: Δx = ±0,0005 m em cada alcance; yᵢ = 0,26 m; yfinal = 0 m (referencial da bancada).</x:v>
      </x:c>
    </x:row>
    <x:row r="19">
      <x:c r="A19" t="str">
        <x:v>Nota: Δx = ±0,0005 m em cada alcance. O guião dispensa o erro do alcance médio.</x:v>
      </x:c>
    </x:row>
  </x:sheetData>
  <x:mergeCells>
    <x:mergeCell ref="A1:F1"/>
  </x:mergeCells>
  <x:pageMargins left="0.7" right="0.7" top="0.75" bottom="0.75" header="0.3" footer="0.3"/>
</x:worksheet>
</file>