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a\Downloads\"/>
    </mc:Choice>
  </mc:AlternateContent>
  <xr:revisionPtr revIDLastSave="0" documentId="13_ncr:1_{42B13D99-14BE-492E-AFED-28F1E4A031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e A - Velocidade Inicial" sheetId="1" r:id="rId1"/>
    <sheet name="Parte B - Alcance vs Ângulo" sheetId="2" r:id="rId2"/>
    <sheet name="Parte C - Pêndulo Balístic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12" i="3"/>
  <c r="C11" i="3"/>
  <c r="C10" i="3"/>
  <c r="C9" i="3"/>
  <c r="C8" i="3"/>
  <c r="B15" i="3" s="1"/>
  <c r="E10" i="2"/>
  <c r="E9" i="2"/>
  <c r="E8" i="2"/>
  <c r="E7" i="2"/>
  <c r="E6" i="2"/>
  <c r="E12" i="2" s="1"/>
  <c r="B13" i="1"/>
  <c r="B15" i="1" s="1"/>
  <c r="C11" i="1" l="1"/>
  <c r="C10" i="1"/>
  <c r="C8" i="1"/>
  <c r="C9" i="1"/>
  <c r="C7" i="1"/>
  <c r="B14" i="1"/>
  <c r="B16" i="1" s="1"/>
  <c r="B17" i="3"/>
  <c r="B16" i="3"/>
  <c r="B18" i="3" s="1"/>
</calcChain>
</file>

<file path=xl/sharedStrings.xml><?xml version="1.0" encoding="utf-8"?>
<sst xmlns="http://schemas.openxmlformats.org/spreadsheetml/2006/main" count="44" uniqueCount="42">
  <si>
    <t>Parte A - Determinação da Velocidade Inicial</t>
  </si>
  <si>
    <t>Distância entre sensores, s (m)</t>
  </si>
  <si>
    <t>LEGENDA:</t>
  </si>
  <si>
    <t>Incerteza, Δs (m)</t>
  </si>
  <si>
    <t>Células para preencher</t>
  </si>
  <si>
    <t>Cálculos automáticos</t>
  </si>
  <si>
    <t>Ensaio</t>
  </si>
  <si>
    <t>Tempo medido, t (s)</t>
  </si>
  <si>
    <t>Desvio |t_i - t_med| (s)</t>
  </si>
  <si>
    <t>Tempo médio, t_med (s):</t>
  </si>
  <si>
    <t>Erro do tempo, Δt (Max Desvio):</t>
  </si>
  <si>
    <t>Velocidade Inicial, v_0 (m/s):</t>
  </si>
  <si>
    <t>Erro da Velocidade, Δv_0 (m/s):</t>
  </si>
  <si>
    <t>Parte B - Dependência do Alcance com o Ângulo de Disparo</t>
  </si>
  <si>
    <t>Altura de lançamento, y (m):</t>
  </si>
  <si>
    <t>Ângulo θ (°)</t>
  </si>
  <si>
    <t>Alcance Ens. 1 (m)</t>
  </si>
  <si>
    <t>Alcance Ens. 2 (m)</t>
  </si>
  <si>
    <t>Alcance Ens. 3 (m)</t>
  </si>
  <si>
    <t>Alcance Médio X_ob (m)</t>
  </si>
  <si>
    <t>Ângulo de Alcance Máximo θ_max_obs (°):</t>
  </si>
  <si>
    <t>Parte C - Pêndulo Balístico</t>
  </si>
  <si>
    <t>Massa do projétil, m (kg)</t>
  </si>
  <si>
    <t>Incerteza, Δm (kg)</t>
  </si>
  <si>
    <t>Massa do pêndulo, M (kg)</t>
  </si>
  <si>
    <t>Incerteza, ΔM (kg)</t>
  </si>
  <si>
    <t>Comprimento do pêndulo, l (m)</t>
  </si>
  <si>
    <t>Incerteza, Δl (m)</t>
  </si>
  <si>
    <t>Ângulo medido α (°)</t>
  </si>
  <si>
    <t>Desvio |α_i - α_med| (°)</t>
  </si>
  <si>
    <t>Ângulo médio, α_med (°):</t>
  </si>
  <si>
    <t>Erro do ângulo, Δα (°):</t>
  </si>
  <si>
    <t>Altura máxima, h (m):</t>
  </si>
  <si>
    <t>Erro da altura, Δh (m):</t>
  </si>
  <si>
    <t>Erro da Vel., Δv_0 (m/s):</t>
  </si>
  <si>
    <t>Inserir fórmula deduzida aqui</t>
  </si>
  <si>
    <t>115,3 cm</t>
  </si>
  <si>
    <t>115,5cm</t>
  </si>
  <si>
    <t>114,9 cm</t>
  </si>
  <si>
    <t>115,4cm</t>
  </si>
  <si>
    <t>114,3cm</t>
  </si>
  <si>
    <t>115,6cm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</si>
</sst>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4F4F4F"/>
        <bgColor rgb="FF4F4F4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0" fillId="0" borderId="0" xfId="0"/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1" sqref="D11"/>
    </sheetView>
  </sheetViews>
  <sheetFormatPr defaultRowHeight="14.5" x14ac:dyDescent="0.35"/>
  <cols>
    <col min="1" max="1" width="30" customWidth="1"/>
    <col min="2" max="2" width="20" customWidth="1"/>
    <col min="3" max="4" width="25" customWidth="1"/>
  </cols>
  <sheetData>
    <row r="1" spans="1:4" ht="18.5" x14ac:dyDescent="0.45">
      <c r="A1" s="8" t="s">
        <v>0</v>
      </c>
      <c r="B1" s="9"/>
      <c r="C1" s="9"/>
      <c r="D1" s="9"/>
    </row>
    <row r="3" spans="1:4" x14ac:dyDescent="0.35">
      <c r="A3" s="1" t="s">
        <v>1</v>
      </c>
      <c r="B3" s="10">
        <v>8.4000000000000005E-2</v>
      </c>
      <c r="D3" s="1" t="s">
        <v>2</v>
      </c>
    </row>
    <row r="4" spans="1:4" x14ac:dyDescent="0.35">
      <c r="A4" s="1" t="s">
        <v>3</v>
      </c>
      <c r="B4" s="2">
        <v>5.0000000000000001E-4</v>
      </c>
      <c r="D4" s="3" t="s">
        <v>4</v>
      </c>
    </row>
    <row r="5" spans="1:4" x14ac:dyDescent="0.35">
      <c r="D5" s="4" t="s">
        <v>5</v>
      </c>
    </row>
    <row r="6" spans="1:4" x14ac:dyDescent="0.35">
      <c r="A6" s="5" t="s">
        <v>6</v>
      </c>
      <c r="B6" s="5" t="s">
        <v>7</v>
      </c>
      <c r="C6" s="5" t="s">
        <v>8</v>
      </c>
    </row>
    <row r="7" spans="1:4" x14ac:dyDescent="0.35">
      <c r="A7" s="6">
        <v>1</v>
      </c>
      <c r="B7" s="10">
        <v>3.2000000000000001E-2</v>
      </c>
      <c r="C7" s="6">
        <f>IF(ISNUMBER(B7), ABS(B7-$B$13), "")</f>
        <v>1.6000000000000042E-4</v>
      </c>
    </row>
    <row r="8" spans="1:4" x14ac:dyDescent="0.35">
      <c r="A8" s="6">
        <v>2</v>
      </c>
      <c r="B8" s="2">
        <v>3.2500000000000001E-2</v>
      </c>
      <c r="C8" s="6">
        <f>IF(ISNUMBER(B8), ABS(B8-$B$13), "")</f>
        <v>6.6000000000000086E-4</v>
      </c>
    </row>
    <row r="9" spans="1:4" x14ac:dyDescent="0.35">
      <c r="A9" s="6">
        <v>3</v>
      </c>
      <c r="B9" s="2">
        <v>3.04E-2</v>
      </c>
      <c r="C9" s="6">
        <f>IF(ISNUMBER(B9), ABS(B9-$B$13), "")</f>
        <v>1.4400000000000003E-3</v>
      </c>
    </row>
    <row r="10" spans="1:4" x14ac:dyDescent="0.35">
      <c r="A10" s="6">
        <v>4</v>
      </c>
      <c r="B10" s="2">
        <v>3.27E-2</v>
      </c>
      <c r="C10" s="6">
        <f>IF(ISNUMBER(B10), ABS(B10-$B$13), "")</f>
        <v>8.5999999999999965E-4</v>
      </c>
    </row>
    <row r="11" spans="1:4" x14ac:dyDescent="0.35">
      <c r="A11" s="6">
        <v>5</v>
      </c>
      <c r="B11" s="2">
        <v>3.1600000000000003E-2</v>
      </c>
      <c r="C11" s="6">
        <f>IF(ISNUMBER(B11), ABS(B11-$B$13), "")</f>
        <v>2.3999999999999716E-4</v>
      </c>
    </row>
    <row r="13" spans="1:4" x14ac:dyDescent="0.35">
      <c r="A13" s="7" t="s">
        <v>9</v>
      </c>
      <c r="B13" s="6">
        <f>AVERAGE(B7:B11)</f>
        <v>3.184E-2</v>
      </c>
    </row>
    <row r="14" spans="1:4" x14ac:dyDescent="0.35">
      <c r="A14" s="7" t="s">
        <v>10</v>
      </c>
      <c r="B14" s="6">
        <f>MAX(C7:C11)</f>
        <v>1.4400000000000003E-3</v>
      </c>
    </row>
    <row r="15" spans="1:4" x14ac:dyDescent="0.35">
      <c r="A15" s="7" t="s">
        <v>11</v>
      </c>
      <c r="B15" s="6">
        <f>IF(B13&gt;0, B3/B13, "")</f>
        <v>2.6381909547738696</v>
      </c>
    </row>
    <row r="16" spans="1:4" x14ac:dyDescent="0.35">
      <c r="A16" s="7" t="s">
        <v>12</v>
      </c>
      <c r="B16" s="6">
        <f>IF(B15&lt;&gt;"", B15*((B4/B3)+(B14/B13)), "")</f>
        <v>0.1350186863968082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11" sqref="D11"/>
    </sheetView>
  </sheetViews>
  <sheetFormatPr defaultRowHeight="14.5" x14ac:dyDescent="0.35"/>
  <cols>
    <col min="1" max="1" width="15" customWidth="1"/>
    <col min="2" max="4" width="20" customWidth="1"/>
    <col min="5" max="5" width="25" customWidth="1"/>
  </cols>
  <sheetData>
    <row r="1" spans="1:6" ht="18.5" x14ac:dyDescent="0.45">
      <c r="A1" s="8" t="s">
        <v>13</v>
      </c>
      <c r="B1" s="9"/>
      <c r="C1" s="9"/>
      <c r="D1" s="9"/>
      <c r="E1" s="9"/>
      <c r="F1" s="9"/>
    </row>
    <row r="3" spans="1:6" x14ac:dyDescent="0.35">
      <c r="A3" s="7" t="s">
        <v>14</v>
      </c>
      <c r="B3" s="2">
        <v>26.3</v>
      </c>
    </row>
    <row r="5" spans="1:6" x14ac:dyDescent="0.3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</row>
    <row r="6" spans="1:6" x14ac:dyDescent="0.35">
      <c r="A6" s="6">
        <v>30</v>
      </c>
      <c r="B6" s="2" t="s">
        <v>36</v>
      </c>
      <c r="C6" s="2" t="s">
        <v>37</v>
      </c>
      <c r="D6" s="2" t="s">
        <v>38</v>
      </c>
      <c r="E6" s="6" t="e">
        <f>AVERAGE(B6:D6)</f>
        <v>#DIV/0!</v>
      </c>
    </row>
    <row r="7" spans="1:6" x14ac:dyDescent="0.35">
      <c r="A7" s="6">
        <v>34</v>
      </c>
      <c r="B7" s="2" t="s">
        <v>40</v>
      </c>
      <c r="C7" s="2" t="s">
        <v>41</v>
      </c>
      <c r="D7" s="2" t="s">
        <v>39</v>
      </c>
      <c r="E7" s="6" t="e">
        <f>AVERAGE(B7:D7)</f>
        <v>#DIV/0!</v>
      </c>
    </row>
    <row r="8" spans="1:6" x14ac:dyDescent="0.35">
      <c r="A8" s="6">
        <v>38</v>
      </c>
      <c r="B8" s="2">
        <v>116.4</v>
      </c>
      <c r="C8" s="2">
        <v>113.9</v>
      </c>
      <c r="D8" s="2">
        <v>115.8</v>
      </c>
      <c r="E8" s="6">
        <f>AVERAGE(B8:D8)</f>
        <v>115.36666666666667</v>
      </c>
    </row>
    <row r="9" spans="1:6" x14ac:dyDescent="0.35">
      <c r="A9" s="6">
        <v>40</v>
      </c>
      <c r="B9" s="2">
        <v>113.4</v>
      </c>
      <c r="C9" s="2">
        <v>113.1</v>
      </c>
      <c r="D9" s="2">
        <v>114.7</v>
      </c>
      <c r="E9" s="6">
        <f>AVERAGE(B9:D9)</f>
        <v>113.73333333333333</v>
      </c>
    </row>
    <row r="10" spans="1:6" x14ac:dyDescent="0.35">
      <c r="A10" s="6">
        <v>43</v>
      </c>
      <c r="B10" s="2">
        <v>111.8</v>
      </c>
      <c r="C10" s="2">
        <v>112.2</v>
      </c>
      <c r="D10" s="2">
        <v>112.9</v>
      </c>
      <c r="E10" s="6">
        <f>AVERAGE(B10:D10)</f>
        <v>112.3</v>
      </c>
    </row>
    <row r="12" spans="1:6" x14ac:dyDescent="0.35">
      <c r="D12" s="7" t="s">
        <v>20</v>
      </c>
      <c r="E12" s="6" t="e">
        <f>INDEX(A6:A10, MATCH(MAX(E6:E10), E6:E10, 0))</f>
        <v>#DIV/0!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0" customWidth="1"/>
    <col min="3" max="3" width="25" customWidth="1"/>
    <col min="4" max="4" width="20" customWidth="1"/>
  </cols>
  <sheetData>
    <row r="1" spans="1:5" ht="18.5" x14ac:dyDescent="0.45">
      <c r="A1" s="8" t="s">
        <v>21</v>
      </c>
      <c r="B1" s="9"/>
      <c r="C1" s="9"/>
      <c r="D1" s="9"/>
      <c r="E1" s="9"/>
    </row>
    <row r="3" spans="1:5" x14ac:dyDescent="0.35">
      <c r="A3" s="1" t="s">
        <v>22</v>
      </c>
      <c r="B3" s="2">
        <v>0</v>
      </c>
      <c r="C3" s="1" t="s">
        <v>23</v>
      </c>
      <c r="D3" s="2">
        <v>0</v>
      </c>
    </row>
    <row r="4" spans="1:5" x14ac:dyDescent="0.35">
      <c r="A4" s="1" t="s">
        <v>24</v>
      </c>
      <c r="B4" s="2">
        <v>0</v>
      </c>
      <c r="C4" s="1" t="s">
        <v>25</v>
      </c>
      <c r="D4" s="2">
        <v>0</v>
      </c>
    </row>
    <row r="5" spans="1:5" x14ac:dyDescent="0.35">
      <c r="A5" s="1" t="s">
        <v>26</v>
      </c>
      <c r="B5" s="2">
        <v>0</v>
      </c>
      <c r="C5" s="1" t="s">
        <v>27</v>
      </c>
      <c r="D5" s="2">
        <v>0</v>
      </c>
    </row>
    <row r="7" spans="1:5" x14ac:dyDescent="0.35">
      <c r="A7" s="5" t="s">
        <v>6</v>
      </c>
      <c r="B7" s="5" t="s">
        <v>28</v>
      </c>
      <c r="C7" s="5" t="s">
        <v>29</v>
      </c>
    </row>
    <row r="8" spans="1:5" x14ac:dyDescent="0.35">
      <c r="A8" s="6">
        <v>1</v>
      </c>
      <c r="B8" s="2"/>
      <c r="C8" s="6" t="str">
        <f>IF(ISNUMBER(B8), ABS(B8-$B$14), "")</f>
        <v/>
      </c>
    </row>
    <row r="9" spans="1:5" x14ac:dyDescent="0.35">
      <c r="A9" s="6">
        <v>2</v>
      </c>
      <c r="B9" s="2"/>
      <c r="C9" s="6" t="str">
        <f>IF(ISNUMBER(B9), ABS(B9-$B$14), "")</f>
        <v/>
      </c>
    </row>
    <row r="10" spans="1:5" x14ac:dyDescent="0.35">
      <c r="A10" s="6">
        <v>3</v>
      </c>
      <c r="B10" s="2"/>
      <c r="C10" s="6" t="str">
        <f>IF(ISNUMBER(B10), ABS(B10-$B$14), "")</f>
        <v/>
      </c>
    </row>
    <row r="11" spans="1:5" x14ac:dyDescent="0.35">
      <c r="A11" s="6">
        <v>4</v>
      </c>
      <c r="B11" s="2"/>
      <c r="C11" s="6" t="str">
        <f>IF(ISNUMBER(B11), ABS(B11-$B$14), "")</f>
        <v/>
      </c>
    </row>
    <row r="12" spans="1:5" x14ac:dyDescent="0.35">
      <c r="A12" s="6">
        <v>5</v>
      </c>
      <c r="B12" s="2"/>
      <c r="C12" s="6" t="str">
        <f>IF(ISNUMBER(B12), ABS(B12-$B$14), "")</f>
        <v/>
      </c>
    </row>
    <row r="14" spans="1:5" x14ac:dyDescent="0.35">
      <c r="A14" s="7" t="s">
        <v>30</v>
      </c>
      <c r="B14" s="6" t="e">
        <f>AVERAGE(B8:B12)</f>
        <v>#DIV/0!</v>
      </c>
    </row>
    <row r="15" spans="1:5" x14ac:dyDescent="0.35">
      <c r="A15" s="7" t="s">
        <v>31</v>
      </c>
      <c r="B15" s="6">
        <f>MAX(C8:C12)</f>
        <v>0</v>
      </c>
    </row>
    <row r="16" spans="1:5" x14ac:dyDescent="0.35">
      <c r="A16" s="7" t="s">
        <v>32</v>
      </c>
      <c r="B16" s="6" t="str">
        <f>IF(ISNUMBER(B14), B5*(1-COS(RADIANS(B14))), "")</f>
        <v/>
      </c>
    </row>
    <row r="17" spans="1:2" x14ac:dyDescent="0.35">
      <c r="A17" s="7" t="s">
        <v>33</v>
      </c>
      <c r="B17" s="6" t="e">
        <f>(1-COS(RADIANS(B14)))*D5 + (B5*SIN(RADIANS(B14)))*RADIANS(B15)</f>
        <v>#DIV/0!</v>
      </c>
    </row>
    <row r="18" spans="1:2" x14ac:dyDescent="0.35">
      <c r="A18" s="7" t="s">
        <v>11</v>
      </c>
      <c r="B18" s="6" t="str">
        <f>IF(ISNUMBER(B16), ((B3+B4)/B3)*SQRT(2*9.8*B16), "")</f>
        <v/>
      </c>
    </row>
    <row r="19" spans="1:2" x14ac:dyDescent="0.35">
      <c r="A19" s="7" t="s">
        <v>34</v>
      </c>
      <c r="B19" s="2" t="s">
        <v>35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Parte A - Velocidade Inicial</vt:lpstr>
      <vt:lpstr>Parte B - Alcance vs Ângulo</vt:lpstr>
      <vt:lpstr>Parte C - Pêndulo Balístico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Rocha</cp:lastModifiedBy>
  <dcterms:created xsi:type="dcterms:W3CDTF">2026-10-16T10:43:58Z</dcterms:created>
  <dcterms:modified xsi:type="dcterms:W3CDTF">2026-10-16T11:35:49Z</dcterms:modified>
</cp:coreProperties>
</file>